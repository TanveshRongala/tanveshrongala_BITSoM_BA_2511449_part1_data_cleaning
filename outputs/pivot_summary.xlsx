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fd440d9ac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529177ec7f8488e"/>
    <x:sheet xmlns:r="http://schemas.openxmlformats.org/officeDocument/2006/relationships" name="Sales by Region" sheetId="2" r:id="R92cd9dacbc9d49be"/>
    <x:sheet xmlns:r="http://schemas.openxmlformats.org/officeDocument/2006/relationships" name="Category Subcategory" sheetId="3" r:id="Rff4be73182774eb9"/>
    <x:sheet xmlns:r="http://schemas.openxmlformats.org/officeDocument/2006/relationships" name="Ship Mode Count" sheetId="4" r:id="R5cf400eb0cdd4b3c"/>
    <x:sheet xmlns:r="http://schemas.openxmlformats.org/officeDocument/2006/relationships" name="Segment Margin" sheetId="5" r:id="R8bb3b9cb0c2643ce"/>
    <x:sheet xmlns:r="http://schemas.openxmlformats.org/officeDocument/2006/relationships" name="Status by Region" sheetId="6" r:id="R7e9ed24abeba4b8c"/>
    <x:sheet xmlns:r="http://schemas.openxmlformats.org/officeDocument/2006/relationships" name="Monthly Trend" sheetId="7" r:id="Rd67a7678b594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92c17960f4759" /><Relationship Type="http://schemas.openxmlformats.org/officeDocument/2006/relationships/theme" Target="/xl/theme/theme1.xml" Id="R5c96f8c5a7454d23" /><Relationship Type="http://schemas.openxmlformats.org/officeDocument/2006/relationships/sharedStrings" Target="/xl/sharedStrings.xml" Id="R1a5a52abc54e4ec9" /><Relationship Type="http://schemas.openxmlformats.org/officeDocument/2006/relationships/worksheet" Target="/xl/worksheets/sheet1.xml" Id="R2529177ec7f8488e" /><Relationship Type="http://schemas.openxmlformats.org/officeDocument/2006/relationships/worksheet" Target="/xl/worksheets/sheet2.xml" Id="R92cd9dacbc9d49be" /><Relationship Type="http://schemas.openxmlformats.org/officeDocument/2006/relationships/worksheet" Target="/xl/worksheets/sheet3.xml" Id="Rff4be73182774eb9" /><Relationship Type="http://schemas.openxmlformats.org/officeDocument/2006/relationships/worksheet" Target="/xl/worksheets/sheet4.xml" Id="R5cf400eb0cdd4b3c" /><Relationship Type="http://schemas.openxmlformats.org/officeDocument/2006/relationships/worksheet" Target="/xl/worksheets/sheet5.xml" Id="R8bb3b9cb0c2643ce" /><Relationship Type="http://schemas.openxmlformats.org/officeDocument/2006/relationships/worksheet" Target="/xl/worksheets/sheet6.xml" Id="R7e9ed24abeba4b8c" /><Relationship Type="http://schemas.openxmlformats.org/officeDocument/2006/relationships/worksheet" Target="/xl/worksheets/sheet7.xml" Id="Rd67a7678b59447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a08440a2a247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a36ac0de01845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Completed Sales &amp; Profit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order_count</c:v>
          </c:tx>
          <c:cat>
            <c:strRef>
              <c:f>'Sales by Region'!$A$4:$A$8</c:f>
              <c:strCache>
                <c:ptCount val="0"/>
              </c:strCache>
            </c:strRef>
          </c:cat>
          <c:val>
            <c:numRef>
              <c:f>'Sales by Region'!$B$4:$B$8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calculated_sales</c:v>
          </c:tx>
          <c:cat>
            <c:strRef>
              <c:f>'Sales by Region'!$A$4:$A$8</c:f>
              <c:strCache>
                <c:ptCount val="0"/>
              </c:strCache>
            </c:strRef>
          </c:cat>
          <c:val>
            <c:numRef>
              <c:f>'Sales by Region'!$C$4:$C$8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calculated_profit</c:v>
          </c:tx>
          <c:cat>
            <c:strRef>
              <c:f>'Sales by Region'!$A$4:$A$8</c:f>
              <c:strCache>
                <c:ptCount val="0"/>
              </c:strCache>
            </c:strRef>
          </c:cat>
          <c:val>
            <c:numRef>
              <c:f>'Sales by Region'!$D$4:$D$8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Completed Sales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order_count</c:v>
          </c:tx>
          <c:cat>
            <c:strRef>
              <c:f>'Monthly Trend'!$A$4:$A$25</c:f>
              <c:strCache>
                <c:ptCount val="0"/>
              </c:strCache>
            </c:strRef>
          </c:cat>
          <c:val>
            <c:numRef>
              <c:f>'Monthly Trend'!$B$4:$B$25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calculated_sales</c:v>
          </c:tx>
          <c:cat>
            <c:strRef>
              <c:f>'Monthly Trend'!$A$4:$A$25</c:f>
              <c:strCache>
                <c:ptCount val="0"/>
              </c:strCache>
            </c:strRef>
          </c:cat>
          <c:val>
            <c:numRef>
              <c:f>'Monthly Trend'!$C$4:$C$25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calculated_profit</c:v>
          </c:tx>
          <c:cat>
            <c:strRef>
              <c:f>'Monthly Trend'!$A$4:$A$25</c:f>
              <c:strCache>
                <c:ptCount val="0"/>
              </c:strCache>
            </c:strRef>
          </c:cat>
          <c:val>
            <c:numRef>
              <c:f>'Monthly Trend'!$D$4:$D$25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a08440a2a247f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36ac0de01845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ivotDashboard" displayName="PivotDashboard" ref="A3:C11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alesByRegion" displayName="SalesByRegion" ref="A3:F8" headerRowCount="1">
  <x:tableColumns count="6">
    <x:tableColumn id="1" name="region"/>
    <x:tableColumn id="2" name="order_count"/>
    <x:tableColumn id="3" name="calculated_sales"/>
    <x:tableColumn id="4" name="calculated_profit"/>
    <x:tableColumn id="5" name="profit_margin"/>
    <x:tableColumn id="6" name="filter_sort_note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bcategory" displayName="CategorySubcategory" ref="A3:G16" headerRowCount="1">
  <x:tableColumns count="7">
    <x:tableColumn id="1" name="category"/>
    <x:tableColumn id="2" name="sub_category"/>
    <x:tableColumn id="3" name="order_count"/>
    <x:tableColumn id="4" name="calculated_sales"/>
    <x:tableColumn id="5" name="calculated_profit"/>
    <x:tableColumn id="6" name="profit_margin"/>
    <x:tableColumn id="7" name="filter_sort_note"/>
  </x:tableColumns>
  <x:tableStyleInfo name="TableStyleMedium2" showRowStripes="1"/>
</x:table>
</file>

<file path=xl/tables/table4.xml><?xml version="1.0" encoding="utf-8"?>
<x:table xmlns:x="http://schemas.openxmlformats.org/spreadsheetml/2006/main" id="4" name="ShipModeCount" displayName="ShipModeCount" ref="A3:D8" headerRowCount="1">
  <x:tableColumns count="4">
    <x:tableColumn id="1" name="ship_mode"/>
    <x:tableColumn id="2" name="order_count"/>
    <x:tableColumn id="3" name="share_of_orders"/>
    <x:tableColumn id="4" name="sort_note"/>
  </x:tableColumns>
  <x:tableStyleInfo name="TableStyleMedium2" showRowStripes="1"/>
</x:table>
</file>

<file path=xl/tables/table5.xml><?xml version="1.0" encoding="utf-8"?>
<x:table xmlns:x="http://schemas.openxmlformats.org/spreadsheetml/2006/main" id="5" name="SegmentMargin" displayName="SegmentMargin" ref="A3:F7" headerRowCount="1">
  <x:tableColumns count="6">
    <x:tableColumn id="1" name="segment"/>
    <x:tableColumn id="2" name="order_count"/>
    <x:tableColumn id="3" name="calculated_sales"/>
    <x:tableColumn id="4" name="calculated_profit"/>
    <x:tableColumn id="5" name="profit_margin"/>
    <x:tableColumn id="6" name="sort_note"/>
  </x:tableColumns>
  <x:tableStyleInfo name="TableStyleMedium2" showRowStripes="1"/>
</x:table>
</file>

<file path=xl/tables/table6.xml><?xml version="1.0" encoding="utf-8"?>
<x:table xmlns:x="http://schemas.openxmlformats.org/spreadsheetml/2006/main" id="6" name="StatusByRegion" displayName="StatusByRegion" ref="A3:F8" headerRowCount="1">
  <x:tableColumns count="6">
    <x:tableColumn id="1" name="region"/>
    <x:tableColumn id="2" name="refunded_or_returned_orders"/>
    <x:tableColumn id="3" name="cancelled_orders"/>
    <x:tableColumn id="4" name="failed_payment_orders"/>
    <x:tableColumn id="5" name="total_exception_orders"/>
    <x:tableColumn id="6" name="calculated_sales_at_risk"/>
  </x:tableColumns>
  <x:tableStyleInfo name="TableStyleMedium2" showRowStripes="1"/>
</x:table>
</file>

<file path=xl/tables/table7.xml><?xml version="1.0" encoding="utf-8"?>
<x:table xmlns:x="http://schemas.openxmlformats.org/spreadsheetml/2006/main" id="7" name="MonthlyTrend" displayName="MonthlyTrend" ref="A3:F25" headerRowCount="1">
  <x:tableColumns count="6">
    <x:tableColumn id="1" name="order_month"/>
    <x:tableColumn id="2" name="order_count"/>
    <x:tableColumn id="3" name="calculated_sales"/>
    <x:tableColumn id="4" name="calculated_profit"/>
    <x:tableColumn id="5" name="profit_margin"/>
    <x:tableColumn id="6" name="sort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9b6f6c5eee42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ccd088274984ec3" /><Relationship Type="http://schemas.openxmlformats.org/officeDocument/2006/relationships/table" Target="/xl/tables/table2.xml" Id="R537131f69cad41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bdfaccc47c49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184bccee0746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3a59e0ad4e48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0fbb6f17bc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e3c2b935c66342c1" /><Relationship Type="http://schemas.openxmlformats.org/officeDocument/2006/relationships/table" Target="/xl/tables/table7.xml" Id="Rae2878f0b9dc445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>
      <x:c r="A1" s="5" t="str">
        <x:v>Pivot Summary Dashboard</x:v>
      </x:c>
      <x:c r="B1" s="20"/>
    </x:row>
    <x:row r="3">
      <x:c r="A3" s="14" t="str">
        <x:v>Metric</x:v>
      </x:c>
      <x:c r="B3" s="14" t="str">
        <x:v>Value</x:v>
      </x:c>
      <x:c r="C3" s="14" t="str">
        <x:v>Notes</x:v>
      </x:c>
    </x:row>
    <x:row r="4">
      <x:c r="A4" t="str">
        <x:v>Completed records included</x:v>
      </x:c>
      <x:c r="B4" t="n">
        <x:v>562</x:v>
      </x:c>
      <x:c r="C4" t="str">
        <x:v>Paid + Completed; invalid and duplicate-conflict records excluded</x:v>
      </x:c>
    </x:row>
    <x:row r="5">
      <x:c r="A5" t="str">
        <x:v>Completed calculated sales</x:v>
      </x:c>
      <x:c r="B5" t="n">
        <x:v>5529531.73</x:v>
      </x:c>
      <x:c r="C5" t="str">
        <x:v>Uses calculated_sales</x:v>
      </x:c>
    </x:row>
    <x:row r="6">
      <x:c r="A6" t="str">
        <x:v>Completed calculated profit</x:v>
      </x:c>
      <x:c r="B6" t="n">
        <x:v>1617248.52</x:v>
      </x:c>
      <x:c r="C6" t="str">
        <x:v>Uses calculated_profit</x:v>
      </x:c>
    </x:row>
    <x:row r="7">
      <x:c r="A7" t="str">
        <x:v>Completed profit margin</x:v>
      </x:c>
      <x:c r="B7" t="n">
        <x:v>0.29247476983010273</x:v>
      </x:c>
      <x:c r="C7" t="str">
        <x:v>calculated_profit / calculated_sales</x:v>
      </x:c>
    </x:row>
    <x:row r="8">
      <x:c r="A8" t="str">
        <x:v>Top region by sales</x:v>
      </x:c>
      <x:c r="B8" t="str">
        <x:v>South</x:v>
      </x:c>
      <x:c r="C8" t="n">
        <x:v>1458576.9</x:v>
      </x:c>
    </x:row>
    <x:row r="9">
      <x:c r="A9" t="str">
        <x:v>Top category/sub-category by sales</x:v>
      </x:c>
      <x:c r="B9" t="str">
        <x:v>Technology / Copiers</x:v>
      </x:c>
      <x:c r="C9" t="n">
        <x:v>642538.45</x:v>
      </x:c>
    </x:row>
    <x:row r="10">
      <x:c r="A10" t="str">
        <x:v>Best segment profit margin</x:v>
      </x:c>
      <x:c r="B10" t="str">
        <x:v>Home Office</x:v>
      </x:c>
      <x:c r="C10" t="n">
        <x:v>0.30124849332727544</x:v>
      </x:c>
    </x:row>
    <x:row r="11">
      <x:c r="A11" t="str">
        <x:v>Highest sales month</x:v>
      </x:c>
      <x:c r="B11" t="str">
        <x:v>2025-02</x:v>
      </x:c>
      <x:c r="C11" t="n">
        <x:v>394995.69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b9b6f6c5eee42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Pivot: Sales and Profit by Region</x:v>
      </x:c>
      <x:c r="C1" s="20"/>
      <x:c r="D1" s="20"/>
      <x:c r="E1" s="22"/>
    </x:row>
    <x:row r="3">
      <x:c r="A3" s="14" t="str">
        <x:v>region</x:v>
      </x:c>
      <x:c r="B3" s="14" t="str">
        <x:v>order_count</x:v>
      </x:c>
      <x:c r="C3" s="14" t="str">
        <x:v>calculated_sales</x:v>
      </x:c>
      <x:c r="D3" s="14" t="str">
        <x:v>calculated_profit</x:v>
      </x:c>
      <x:c r="E3" s="14" t="str">
        <x:v>profit_margin</x:v>
      </x:c>
      <x:c r="F3" s="14" t="str">
        <x:v>filter_sort_note</x:v>
      </x:c>
    </x:row>
    <x:row r="4">
      <x:c r="A4" t="str">
        <x:v>South</x:v>
      </x:c>
      <x:c r="B4" t="n">
        <x:v>142</x:v>
      </x:c>
      <x:c r="C4" t="n">
        <x:v>1458576.9</x:v>
      </x:c>
      <x:c r="D4" t="n">
        <x:v>418435.47</x:v>
      </x:c>
      <x:c r="E4" t="n">
        <x:v>0.2868792656732737</x:v>
      </x:c>
      <x:c r="F4" t="str">
        <x:v>Filtered to Paid + Completed + valid + no duplicate conflict; sorted by sales desc</x:v>
      </x:c>
    </x:row>
    <x:row r="5">
      <x:c r="A5" t="str">
        <x:v>West</x:v>
      </x:c>
      <x:c r="B5" t="n">
        <x:v>147</x:v>
      </x:c>
      <x:c r="C5" t="n">
        <x:v>1433276.74</x:v>
      </x:c>
      <x:c r="D5" t="n">
        <x:v>411293.33</x:v>
      </x:c>
      <x:c r="E5" t="n">
        <x:v>0.28696016513879935</x:v>
      </x:c>
      <x:c r="F5" t="str">
        <x:v>Filtered to Paid + Completed + valid + no duplicate conflict; sorted by sales desc</x:v>
      </x:c>
    </x:row>
    <x:row r="6">
      <x:c r="A6" t="str">
        <x:v>East</x:v>
      </x:c>
      <x:c r="B6" t="n">
        <x:v>137</x:v>
      </x:c>
      <x:c r="C6" t="n">
        <x:v>1313024.85</x:v>
      </x:c>
      <x:c r="D6" t="n">
        <x:v>391909.62</x:v>
      </x:c>
      <x:c r="E6" t="n">
        <x:v>0.29847844844672966</x:v>
      </x:c>
      <x:c r="F6" t="str">
        <x:v>Filtered to Paid + Completed + valid + no duplicate conflict; sorted by sales desc</x:v>
      </x:c>
    </x:row>
    <x:row r="7">
      <x:c r="A7" t="str">
        <x:v>North</x:v>
      </x:c>
      <x:c r="B7" t="n">
        <x:v>118</x:v>
      </x:c>
      <x:c r="C7" t="n">
        <x:v>1157103.97</x:v>
      </x:c>
      <x:c r="D7" t="n">
        <x:v>343602.57</x:v>
      </x:c>
      <x:c r="E7" t="n">
        <x:v>0.2969504719614781</x:v>
      </x:c>
      <x:c r="F7" t="str">
        <x:v>Filtered to Paid + Completed + valid + no duplicate conflict; sorted by sales desc</x:v>
      </x:c>
    </x:row>
    <x:row r="8">
      <x:c r="A8" t="str">
        <x:v>Unknown</x:v>
      </x:c>
      <x:c r="B8" t="n">
        <x:v>18</x:v>
      </x:c>
      <x:c r="C8" t="n">
        <x:v>167549.27</x:v>
      </x:c>
      <x:c r="D8" t="n">
        <x:v>52007.53</x:v>
      </x:c>
      <x:c r="E8" t="n">
        <x:v>0.3104014120741917</x:v>
      </x:c>
      <x:c r="F8" t="str">
        <x:v>Filtered to Paid + Completed + valid + no duplicate conflict; sorted by sales desc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ccd088274984ec3"/>
  <x:tableParts count="1">
    <x:tablePart xmlns:r="http://schemas.openxmlformats.org/officeDocument/2006/relationships" r:id="R537131f69cad41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Pivot: Sales and Profit by Category and Sub-Category</x:v>
      </x:c>
      <x:c r="D1" s="20"/>
      <x:c r="E1" s="20"/>
      <x:c r="F1" s="22"/>
    </x:row>
    <x:row r="3">
      <x:c r="A3" s="14" t="str">
        <x:v>category</x:v>
      </x:c>
      <x:c r="B3" s="14" t="str">
        <x:v>sub_category</x:v>
      </x:c>
      <x:c r="C3" s="14" t="str">
        <x:v>order_count</x:v>
      </x:c>
      <x:c r="D3" s="14" t="str">
        <x:v>calculated_sales</x:v>
      </x:c>
      <x:c r="E3" s="14" t="str">
        <x:v>calculated_profit</x:v>
      </x:c>
      <x:c r="F3" s="14" t="str">
        <x:v>profit_margin</x:v>
      </x:c>
      <x:c r="G3" s="14" t="str">
        <x:v>filter_sort_note</x:v>
      </x:c>
    </x:row>
    <x:row r="4">
      <x:c r="A4" t="str">
        <x:v>Technology</x:v>
      </x:c>
      <x:c r="B4" t="str">
        <x:v>Copiers</x:v>
      </x:c>
      <x:c r="C4" t="n">
        <x:v>61</x:v>
      </x:c>
      <x:c r="D4" t="n">
        <x:v>642538.45</x:v>
      </x:c>
      <x:c r="E4" t="n">
        <x:v>184165.28</x:v>
      </x:c>
      <x:c r="F4" t="n">
        <x:v>0.28662141541879715</x:v>
      </x:c>
      <x:c r="G4" t="str">
        <x:v>Filtered to completed valid records; sorted by sales desc</x:v>
      </x:c>
    </x:row>
    <x:row r="5">
      <x:c r="A5" t="str">
        <x:v>Furniture</x:v>
      </x:c>
      <x:c r="B5" t="str">
        <x:v>Chairs</x:v>
      </x:c>
      <x:c r="C5" t="n">
        <x:v>53</x:v>
      </x:c>
      <x:c r="D5" t="n">
        <x:v>557906.52</x:v>
      </x:c>
      <x:c r="E5" t="n">
        <x:v>161228.89</x:v>
      </x:c>
      <x:c r="F5" t="n">
        <x:v>0.28898907652127814</x:v>
      </x:c>
      <x:c r="G5" t="str">
        <x:v>Filtered to completed valid records; sorted by sales desc</x:v>
      </x:c>
    </x:row>
    <x:row r="6">
      <x:c r="A6" t="str">
        <x:v>Office Supplies</x:v>
      </x:c>
      <x:c r="B6" t="str">
        <x:v>Storage</x:v>
      </x:c>
      <x:c r="C6" t="n">
        <x:v>51</x:v>
      </x:c>
      <x:c r="D6" t="n">
        <x:v>501765.71</x:v>
      </x:c>
      <x:c r="E6" t="n">
        <x:v>132942.17</x:v>
      </x:c>
      <x:c r="F6" t="n">
        <x:v>0.2649486948799271</x:v>
      </x:c>
      <x:c r="G6" t="str">
        <x:v>Filtered to completed valid records; sorted by sales desc</x:v>
      </x:c>
    </x:row>
    <x:row r="7">
      <x:c r="A7" t="str">
        <x:v>Technology</x:v>
      </x:c>
      <x:c r="B7" t="str">
        <x:v>Phones</x:v>
      </x:c>
      <x:c r="C7" t="n">
        <x:v>48</x:v>
      </x:c>
      <x:c r="D7" t="n">
        <x:v>501319.65</x:v>
      </x:c>
      <x:c r="E7" t="n">
        <x:v>148995.17</x:v>
      </x:c>
      <x:c r="F7" t="n">
        <x:v>0.2972059244037213</x:v>
      </x:c>
      <x:c r="G7" t="str">
        <x:v>Filtered to completed valid records; sorted by sales desc</x:v>
      </x:c>
    </x:row>
    <x:row r="8">
      <x:c r="A8" t="str">
        <x:v>Technology</x:v>
      </x:c>
      <x:c r="B8" t="str">
        <x:v>Accessories</x:v>
      </x:c>
      <x:c r="C8" t="n">
        <x:v>45</x:v>
      </x:c>
      <x:c r="D8" t="n">
        <x:v>484510.43</x:v>
      </x:c>
      <x:c r="E8" t="n">
        <x:v>142038.19</x:v>
      </x:c>
      <x:c r="F8" t="n">
        <x:v>0.2931581679263334</x:v>
      </x:c>
      <x:c r="G8" t="str">
        <x:v>Filtered to completed valid records; sorted by sales desc</x:v>
      </x:c>
    </x:row>
    <x:row r="9">
      <x:c r="A9" t="str">
        <x:v>Furniture</x:v>
      </x:c>
      <x:c r="B9" t="str">
        <x:v>Furnishings</x:v>
      </x:c>
      <x:c r="C9" t="n">
        <x:v>47</x:v>
      </x:c>
      <x:c r="D9" t="n">
        <x:v>457831.8</x:v>
      </x:c>
      <x:c r="E9" t="n">
        <x:v>134932.77</x:v>
      </x:c>
      <x:c r="F9" t="n">
        <x:v>0.2947212709995243</x:v>
      </x:c>
      <x:c r="G9" t="str">
        <x:v>Filtered to completed valid records; sorted by sales desc</x:v>
      </x:c>
    </x:row>
    <x:row r="10">
      <x:c r="A10" t="str">
        <x:v>Office Supplies</x:v>
      </x:c>
      <x:c r="B10" t="str">
        <x:v>Paper</x:v>
      </x:c>
      <x:c r="C10" t="n">
        <x:v>39</x:v>
      </x:c>
      <x:c r="D10" t="n">
        <x:v>425697.98</x:v>
      </x:c>
      <x:c r="E10" t="n">
        <x:v>115104.86</x:v>
      </x:c>
      <x:c r="F10" t="n">
        <x:v>0.2703909001400477</x:v>
      </x:c>
      <x:c r="G10" t="str">
        <x:v>Filtered to completed valid records; sorted by sales desc</x:v>
      </x:c>
    </x:row>
    <x:row r="11">
      <x:c r="A11" t="str">
        <x:v>Furniture</x:v>
      </x:c>
      <x:c r="B11" t="str">
        <x:v>Bookcases</x:v>
      </x:c>
      <x:c r="C11" t="n">
        <x:v>40</x:v>
      </x:c>
      <x:c r="D11" t="n">
        <x:v>395508.39</x:v>
      </x:c>
      <x:c r="E11" t="n">
        <x:v>113924.11</x:v>
      </x:c>
      <x:c r="F11" t="n">
        <x:v>0.2880447365478138</x:v>
      </x:c>
      <x:c r="G11" t="str">
        <x:v>Filtered to completed valid records; sorted by sales desc</x:v>
      </x:c>
    </x:row>
    <x:row r="12">
      <x:c r="A12" t="str">
        <x:v>Furniture</x:v>
      </x:c>
      <x:c r="B12" t="str">
        <x:v>Tables</x:v>
      </x:c>
      <x:c r="C12" t="n">
        <x:v>47</x:v>
      </x:c>
      <x:c r="D12" t="n">
        <x:v>387246.68</x:v>
      </x:c>
      <x:c r="E12" t="n">
        <x:v>116393.59</x:v>
      </x:c>
      <x:c r="F12" t="n">
        <x:v>0.30056704424167047</x:v>
      </x:c>
      <x:c r="G12" t="str">
        <x:v>Filtered to completed valid records; sorted by sales desc</x:v>
      </x:c>
    </x:row>
    <x:row r="13">
      <x:c r="A13" t="str">
        <x:v>Technology</x:v>
      </x:c>
      <x:c r="B13" t="str">
        <x:v>Machines</x:v>
      </x:c>
      <x:c r="C13" t="n">
        <x:v>43</x:v>
      </x:c>
      <x:c r="D13" t="n">
        <x:v>377186.1</x:v>
      </x:c>
      <x:c r="E13" t="n">
        <x:v>130635.68</x:v>
      </x:c>
      <x:c r="F13" t="n">
        <x:v>0.3463427735009323</x:v>
      </x:c>
      <x:c r="G13" t="str">
        <x:v>Filtered to completed valid records; sorted by sales desc</x:v>
      </x:c>
    </x:row>
    <x:row r="14">
      <x:c r="A14" t="str">
        <x:v>Office Supplies</x:v>
      </x:c>
      <x:c r="B14" t="str">
        <x:v>Binders</x:v>
      </x:c>
      <x:c r="C14" t="n">
        <x:v>31</x:v>
      </x:c>
      <x:c r="D14" t="n">
        <x:v>306023.17</x:v>
      </x:c>
      <x:c r="E14" t="n">
        <x:v>96732.19</x:v>
      </x:c>
      <x:c r="F14" t="n">
        <x:v>0.31609433364146905</x:v>
      </x:c>
      <x:c r="G14" t="str">
        <x:v>Filtered to completed valid records; sorted by sales desc</x:v>
      </x:c>
    </x:row>
    <x:row r="15">
      <x:c r="A15" t="str">
        <x:v>Office Supplies</x:v>
      </x:c>
      <x:c r="B15" t="str">
        <x:v>Art</x:v>
      </x:c>
      <x:c r="C15" t="n">
        <x:v>28</x:v>
      </x:c>
      <x:c r="D15" t="n">
        <x:v>298674.66</x:v>
      </x:c>
      <x:c r="E15" t="n">
        <x:v>80748.69</x:v>
      </x:c>
      <x:c r="F15" t="n">
        <x:v>0.27035668174862915</x:v>
      </x:c>
      <x:c r="G15" t="str">
        <x:v>Filtered to completed valid records; sorted by sales desc</x:v>
      </x:c>
    </x:row>
    <x:row r="16">
      <x:c r="A16" t="str">
        <x:v>Office Supplies</x:v>
      </x:c>
      <x:c r="B16" t="str">
        <x:v>Labels</x:v>
      </x:c>
      <x:c r="C16" t="n">
        <x:v>29</x:v>
      </x:c>
      <x:c r="D16" t="n">
        <x:v>193322.19</x:v>
      </x:c>
      <x:c r="E16" t="n">
        <x:v>59406.93</x:v>
      </x:c>
      <x:c r="F16" t="n">
        <x:v>0.30729493598225843</x:v>
      </x:c>
      <x:c r="G16" t="str">
        <x:v>Filtered to completed valid records; sorted by sales desc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dbdfaccc47c49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5" t="str">
        <x:v>Pivot: Order Count by Ship Mode</x:v>
      </x:c>
      <x:c r="C1" s="22"/>
    </x:row>
    <x:row r="3">
      <x:c r="A3" s="14" t="str">
        <x:v>ship_mode</x:v>
      </x:c>
      <x:c r="B3" s="14" t="str">
        <x:v>order_count</x:v>
      </x:c>
      <x:c r="C3" s="14" t="str">
        <x:v>share_of_orders</x:v>
      </x:c>
      <x:c r="D3" s="14" t="str">
        <x:v>sort_note</x:v>
      </x:c>
    </x:row>
    <x:row r="4">
      <x:c r="A4" t="str">
        <x:v>Standard Class</x:v>
      </x:c>
      <x:c r="B4" t="n">
        <x:v>242</x:v>
      </x:c>
      <x:c r="C4" t="n">
        <x:v>0.26535087719298245</x:v>
      </x:c>
      <x:c r="D4" t="str">
        <x:v>Sorted by order count desc</x:v>
      </x:c>
    </x:row>
    <x:row r="5">
      <x:c r="A5" t="str">
        <x:v>First Class</x:v>
      </x:c>
      <x:c r="B5" t="n">
        <x:v>223</x:v>
      </x:c>
      <x:c r="C5" t="n">
        <x:v>0.24451754385964913</x:v>
      </x:c>
      <x:c r="D5" t="str">
        <x:v>Sorted by order count desc</x:v>
      </x:c>
    </x:row>
    <x:row r="6">
      <x:c r="A6" t="str">
        <x:v>Second Class</x:v>
      </x:c>
      <x:c r="B6" t="n">
        <x:v>222</x:v>
      </x:c>
      <x:c r="C6" t="n">
        <x:v>0.24342105263157895</x:v>
      </x:c>
      <x:c r="D6" t="str">
        <x:v>Sorted by order count desc</x:v>
      </x:c>
    </x:row>
    <x:row r="7">
      <x:c r="A7" t="str">
        <x:v>Same Day</x:v>
      </x:c>
      <x:c r="B7" t="n">
        <x:v>204</x:v>
      </x:c>
      <x:c r="C7" t="n">
        <x:v>0.2236842105263158</x:v>
      </x:c>
      <x:c r="D7" t="str">
        <x:v>Sorted by order count desc</x:v>
      </x:c>
    </x:row>
    <x:row r="8">
      <x:c r="A8" t="str">
        <x:v>Unknown</x:v>
      </x:c>
      <x:c r="B8" t="n">
        <x:v>21</x:v>
      </x:c>
      <x:c r="C8" t="n">
        <x:v>0.023026315789473683</x:v>
      </x:c>
      <x:c r="D8" t="str">
        <x:v>Sorted by order count desc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2184bccee0746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Pivot: Profit Margin by Customer Segment</x:v>
      </x:c>
      <x:c r="C1" s="20"/>
      <x:c r="D1" s="20"/>
      <x:c r="E1" s="22"/>
    </x:row>
    <x:row r="3">
      <x:c r="A3" s="14" t="str">
        <x:v>segment</x:v>
      </x:c>
      <x:c r="B3" s="14" t="str">
        <x:v>order_count</x:v>
      </x:c>
      <x:c r="C3" s="14" t="str">
        <x:v>calculated_sales</x:v>
      </x:c>
      <x:c r="D3" s="14" t="str">
        <x:v>calculated_profit</x:v>
      </x:c>
      <x:c r="E3" s="14" t="str">
        <x:v>profit_margin</x:v>
      </x:c>
      <x:c r="F3" s="14" t="str">
        <x:v>sort_note</x:v>
      </x:c>
    </x:row>
    <x:row r="4">
      <x:c r="A4" t="str">
        <x:v>Home Office</x:v>
      </x:c>
      <x:c r="B4" t="n">
        <x:v>153</x:v>
      </x:c>
      <x:c r="C4" t="n">
        <x:v>1461100.32</x:v>
      </x:c>
      <x:c r="D4" t="n">
        <x:v>440154.27</x:v>
      </x:c>
      <x:c r="E4" t="n">
        <x:v>0.30124849332727544</x:v>
      </x:c>
      <x:c r="F4" t="str">
        <x:v>Sorted by profit margin desc</x:v>
      </x:c>
    </x:row>
    <x:row r="5">
      <x:c r="A5" t="str">
        <x:v>Consumer</x:v>
      </x:c>
      <x:c r="B5" t="n">
        <x:v>134</x:v>
      </x:c>
      <x:c r="C5" t="n">
        <x:v>1296503.89</x:v>
      </x:c>
      <x:c r="D5" t="n">
        <x:v>385250.79</x:v>
      </x:c>
      <x:c r="E5" t="n">
        <x:v>0.29714588052643637</x:v>
      </x:c>
      <x:c r="F5" t="str">
        <x:v>Sorted by profit margin desc</x:v>
      </x:c>
    </x:row>
    <x:row r="6">
      <x:c r="A6" t="str">
        <x:v>Corporate</x:v>
      </x:c>
      <x:c r="B6" t="n">
        <x:v>126</x:v>
      </x:c>
      <x:c r="C6" t="n">
        <x:v>1251213.75</x:v>
      </x:c>
      <x:c r="D6" t="n">
        <x:v>364245.92</x:v>
      </x:c>
      <x:c r="E6" t="n">
        <x:v>0.2911140642436194</x:v>
      </x:c>
      <x:c r="F6" t="str">
        <x:v>Sorted by profit margin desc</x:v>
      </x:c>
    </x:row>
    <x:row r="7">
      <x:c r="A7" t="str">
        <x:v>Small Business</x:v>
      </x:c>
      <x:c r="B7" t="n">
        <x:v>149</x:v>
      </x:c>
      <x:c r="C7" t="n">
        <x:v>1520713.77</x:v>
      </x:c>
      <x:c r="D7" t="n">
        <x:v>427597.54</x:v>
      </x:c>
      <x:c r="E7" t="n">
        <x:v>0.2811821319931889</x:v>
      </x:c>
      <x:c r="F7" t="str">
        <x:v>Sorted by profit margin desc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43a59e0ad4e48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Pivot: Refunded / Cancelled / Failed Orders by Region</x:v>
      </x:c>
      <x:c r="F1" s="20"/>
    </x:row>
    <x:row r="3">
      <x:c r="A3" s="14" t="str">
        <x:v>region</x:v>
      </x:c>
      <x:c r="B3" s="14" t="str">
        <x:v>refunded_or_returned_orders</x:v>
      </x:c>
      <x:c r="C3" s="14" t="str">
        <x:v>cancelled_orders</x:v>
      </x:c>
      <x:c r="D3" s="14" t="str">
        <x:v>failed_payment_orders</x:v>
      </x:c>
      <x:c r="E3" s="14" t="str">
        <x:v>total_exception_orders</x:v>
      </x:c>
      <x:c r="F3" s="14" t="str">
        <x:v>calculated_sales_at_risk</x:v>
      </x:c>
    </x:row>
    <x:row r="4">
      <x:c r="A4" t="str">
        <x:v>North</x:v>
      </x:c>
      <x:c r="B4" t="n">
        <x:v>50</x:v>
      </x:c>
      <x:c r="C4" t="n">
        <x:v>48</x:v>
      </x:c>
      <x:c r="D4" t="n">
        <x:v>20</x:v>
      </x:c>
      <x:c r="E4" t="n">
        <x:v>86</x:v>
      </x:c>
      <x:c r="F4" t="n">
        <x:v>879191.19</x:v>
      </x:c>
    </x:row>
    <x:row r="5">
      <x:c r="A5" t="str">
        <x:v>East</x:v>
      </x:c>
      <x:c r="B5" t="n">
        <x:v>51</x:v>
      </x:c>
      <x:c r="C5" t="n">
        <x:v>30</x:v>
      </x:c>
      <x:c r="D5" t="n">
        <x:v>13</x:v>
      </x:c>
      <x:c r="E5" t="n">
        <x:v>75</x:v>
      </x:c>
      <x:c r="F5" t="n">
        <x:v>811675.88</x:v>
      </x:c>
    </x:row>
    <x:row r="6">
      <x:c r="A6" t="str">
        <x:v>South</x:v>
      </x:c>
      <x:c r="B6" t="n">
        <x:v>48</x:v>
      </x:c>
      <x:c r="C6" t="n">
        <x:v>35</x:v>
      </x:c>
      <x:c r="D6" t="n">
        <x:v>20</x:v>
      </x:c>
      <x:c r="E6" t="n">
        <x:v>72</x:v>
      </x:c>
      <x:c r="F6" t="n">
        <x:v>689346.68</x:v>
      </x:c>
    </x:row>
    <x:row r="7">
      <x:c r="A7" t="str">
        <x:v>West</x:v>
      </x:c>
      <x:c r="B7" t="n">
        <x:v>46</x:v>
      </x:c>
      <x:c r="C7" t="n">
        <x:v>30</x:v>
      </x:c>
      <x:c r="D7" t="n">
        <x:v>14</x:v>
      </x:c>
      <x:c r="E7" t="n">
        <x:v>71</x:v>
      </x:c>
      <x:c r="F7" t="n">
        <x:v>608967.56</x:v>
      </x:c>
    </x:row>
    <x:row r="8">
      <x:c r="A8" t="str">
        <x:v>Unknown</x:v>
      </x:c>
      <x:c r="B8" t="n">
        <x:v>5</x:v>
      </x:c>
      <x:c r="C8" t="n">
        <x:v>2</x:v>
      </x:c>
      <x:c r="D8" t="n">
        <x:v>2</x:v>
      </x:c>
      <x:c r="E8" t="n">
        <x:v>6</x:v>
      </x:c>
      <x:c r="F8" t="n">
        <x:v>106998.06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e0fbb6f17bc4c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Pivot: Monthly Sales Trend</x:v>
      </x:c>
      <x:c r="C1" s="20"/>
      <x:c r="D1" s="20"/>
      <x:c r="E1" s="22"/>
    </x:row>
    <x:row r="3">
      <x:c r="A3" s="14" t="str">
        <x:v>order_month</x:v>
      </x:c>
      <x:c r="B3" s="14" t="str">
        <x:v>order_count</x:v>
      </x:c>
      <x:c r="C3" s="14" t="str">
        <x:v>calculated_sales</x:v>
      </x:c>
      <x:c r="D3" s="14" t="str">
        <x:v>calculated_profit</x:v>
      </x:c>
      <x:c r="E3" s="14" t="str">
        <x:v>profit_margin</x:v>
      </x:c>
      <x:c r="F3" s="14" t="str">
        <x:v>sort_note</x:v>
      </x:c>
    </x:row>
    <x:row r="4">
      <x:c r="A4" t="str">
        <x:v>2024-01</x:v>
      </x:c>
      <x:c r="B4" t="n">
        <x:v>25</x:v>
      </x:c>
      <x:c r="C4" t="n">
        <x:v>189373.45</x:v>
      </x:c>
      <x:c r="D4" t="n">
        <x:v>65054.03</x:v>
      </x:c>
      <x:c r="E4" t="n">
        <x:v>0.34352244203186877</x:v>
      </x:c>
      <x:c r="F4" t="str">
        <x:v>Sorted chronologically</x:v>
      </x:c>
    </x:row>
    <x:row r="5">
      <x:c r="A5" t="str">
        <x:v>2024-02</x:v>
      </x:c>
      <x:c r="B5" t="n">
        <x:v>22</x:v>
      </x:c>
      <x:c r="C5" t="n">
        <x:v>176274.14</x:v>
      </x:c>
      <x:c r="D5" t="n">
        <x:v>56701.63</x:v>
      </x:c>
      <x:c r="E5" t="n">
        <x:v>0.32166731887048206</x:v>
      </x:c>
      <x:c r="F5" t="str">
        <x:v>Sorted chronologically</x:v>
      </x:c>
    </x:row>
    <x:row r="6">
      <x:c r="A6" t="str">
        <x:v>2024-03</x:v>
      </x:c>
      <x:c r="B6" t="n">
        <x:v>25</x:v>
      </x:c>
      <x:c r="C6" t="n">
        <x:v>236334.94</x:v>
      </x:c>
      <x:c r="D6" t="n">
        <x:v>73434.18</x:v>
      </x:c>
      <x:c r="E6" t="n">
        <x:v>0.31072079312521456</x:v>
      </x:c>
      <x:c r="F6" t="str">
        <x:v>Sorted chronologically</x:v>
      </x:c>
    </x:row>
    <x:row r="7">
      <x:c r="A7" t="str">
        <x:v>2024-04</x:v>
      </x:c>
      <x:c r="B7" t="n">
        <x:v>21</x:v>
      </x:c>
      <x:c r="C7" t="n">
        <x:v>241541.5</x:v>
      </x:c>
      <x:c r="D7" t="n">
        <x:v>67927.84</x:v>
      </x:c>
      <x:c r="E7" t="n">
        <x:v>0.2812263731077268</x:v>
      </x:c>
      <x:c r="F7" t="str">
        <x:v>Sorted chronologically</x:v>
      </x:c>
    </x:row>
    <x:row r="8">
      <x:c r="A8" t="str">
        <x:v>2024-05</x:v>
      </x:c>
      <x:c r="B8" t="n">
        <x:v>30</x:v>
      </x:c>
      <x:c r="C8" t="n">
        <x:v>304122.39</x:v>
      </x:c>
      <x:c r="D8" t="n">
        <x:v>78010.04</x:v>
      </x:c>
      <x:c r="E8" t="n">
        <x:v>0.2565087036176455</x:v>
      </x:c>
      <x:c r="F8" t="str">
        <x:v>Sorted chronologically</x:v>
      </x:c>
    </x:row>
    <x:row r="9">
      <x:c r="A9" t="str">
        <x:v>2024-06</x:v>
      </x:c>
      <x:c r="B9" t="n">
        <x:v>31</x:v>
      </x:c>
      <x:c r="C9" t="n">
        <x:v>391026.43</x:v>
      </x:c>
      <x:c r="D9" t="n">
        <x:v>114737.18</x:v>
      </x:c>
      <x:c r="E9" t="n">
        <x:v>0.2934256387733177</x:v>
      </x:c>
      <x:c r="F9" t="str">
        <x:v>Sorted chronologically</x:v>
      </x:c>
    </x:row>
    <x:row r="10">
      <x:c r="A10" t="str">
        <x:v>2024-07</x:v>
      </x:c>
      <x:c r="B10" t="n">
        <x:v>25</x:v>
      </x:c>
      <x:c r="C10" t="n">
        <x:v>219870.95</x:v>
      </x:c>
      <x:c r="D10" t="n">
        <x:v>57775.35</x:v>
      </x:c>
      <x:c r="E10" t="n">
        <x:v>0.26276936539365475</x:v>
      </x:c>
      <x:c r="F10" t="str">
        <x:v>Sorted chronologically</x:v>
      </x:c>
    </x:row>
    <x:row r="11">
      <x:c r="A11" t="str">
        <x:v>2024-08</x:v>
      </x:c>
      <x:c r="B11" t="n">
        <x:v>29</x:v>
      </x:c>
      <x:c r="C11" t="n">
        <x:v>237918.23</x:v>
      </x:c>
      <x:c r="D11" t="n">
        <x:v>73404.46</x:v>
      </x:c>
      <x:c r="E11" t="n">
        <x:v>0.3085281022811913</x:v>
      </x:c>
      <x:c r="F11" t="str">
        <x:v>Sorted chronologically</x:v>
      </x:c>
    </x:row>
    <x:row r="12">
      <x:c r="A12" t="str">
        <x:v>2024-09</x:v>
      </x:c>
      <x:c r="B12" t="n">
        <x:v>22</x:v>
      </x:c>
      <x:c r="C12" t="n">
        <x:v>210385.95</x:v>
      </x:c>
      <x:c r="D12" t="n">
        <x:v>51468.38</x:v>
      </x:c>
      <x:c r="E12" t="n">
        <x:v>0.24463791427136647</x:v>
      </x:c>
      <x:c r="F12" t="str">
        <x:v>Sorted chronologically</x:v>
      </x:c>
    </x:row>
    <x:row r="13">
      <x:c r="A13" t="str">
        <x:v>2024-10</x:v>
      </x:c>
      <x:c r="B13" t="n">
        <x:v>29</x:v>
      </x:c>
      <x:c r="C13" t="n">
        <x:v>325433.93</x:v>
      </x:c>
      <x:c r="D13" t="n">
        <x:v>93883.4</x:v>
      </x:c>
      <x:c r="E13" t="n">
        <x:v>0.28848682127275416</x:v>
      </x:c>
      <x:c r="F13" t="str">
        <x:v>Sorted chronologically</x:v>
      </x:c>
    </x:row>
    <x:row r="14">
      <x:c r="A14" t="str">
        <x:v>2024-11</x:v>
      </x:c>
      <x:c r="B14" t="n">
        <x:v>22</x:v>
      </x:c>
      <x:c r="C14" t="n">
        <x:v>240733.45</x:v>
      </x:c>
      <x:c r="D14" t="n">
        <x:v>84481.65</x:v>
      </x:c>
      <x:c r="E14" t="n">
        <x:v>0.3509344048365526</x:v>
      </x:c>
      <x:c r="F14" t="str">
        <x:v>Sorted chronologically</x:v>
      </x:c>
    </x:row>
    <x:row r="15">
      <x:c r="A15" t="str">
        <x:v>2024-12</x:v>
      </x:c>
      <x:c r="B15" t="n">
        <x:v>23</x:v>
      </x:c>
      <x:c r="C15" t="n">
        <x:v>190414.53</x:v>
      </x:c>
      <x:c r="D15" t="n">
        <x:v>52061.93</x:v>
      </x:c>
      <x:c r="E15" t="n">
        <x:v>0.27341364128042117</x:v>
      </x:c>
      <x:c r="F15" t="str">
        <x:v>Sorted chronologically</x:v>
      </x:c>
    </x:row>
    <x:row r="16">
      <x:c r="A16" t="str">
        <x:v>2025-01</x:v>
      </x:c>
      <x:c r="B16" t="n">
        <x:v>23</x:v>
      </x:c>
      <x:c r="C16" t="n">
        <x:v>255235.8</x:v>
      </x:c>
      <x:c r="D16" t="n">
        <x:v>70940.62</x:v>
      </x:c>
      <x:c r="E16" t="n">
        <x:v>0.2779414956679275</x:v>
      </x:c>
      <x:c r="F16" t="str">
        <x:v>Sorted chronologically</x:v>
      </x:c>
    </x:row>
    <x:row r="17">
      <x:c r="A17" t="str">
        <x:v>2025-02</x:v>
      </x:c>
      <x:c r="B17" t="n">
        <x:v>39</x:v>
      </x:c>
      <x:c r="C17" t="n">
        <x:v>394995.69</x:v>
      </x:c>
      <x:c r="D17" t="n">
        <x:v>117043.4</x:v>
      </x:c>
      <x:c r="E17" t="n">
        <x:v>0.29631563827949614</x:v>
      </x:c>
      <x:c r="F17" t="str">
        <x:v>Sorted chronologically</x:v>
      </x:c>
    </x:row>
    <x:row r="18">
      <x:c r="A18" t="str">
        <x:v>2025-03</x:v>
      </x:c>
      <x:c r="B18" t="n">
        <x:v>27</x:v>
      </x:c>
      <x:c r="C18" t="n">
        <x:v>322614.28</x:v>
      </x:c>
      <x:c r="D18" t="n">
        <x:v>92228.46</x:v>
      </x:c>
      <x:c r="E18" t="n">
        <x:v>0.28587841802910896</x:v>
      </x:c>
      <x:c r="F18" t="str">
        <x:v>Sorted chronologically</x:v>
      </x:c>
    </x:row>
    <x:row r="19">
      <x:c r="A19" t="str">
        <x:v>2025-04</x:v>
      </x:c>
      <x:c r="B19" t="n">
        <x:v>33</x:v>
      </x:c>
      <x:c r="C19" t="n">
        <x:v>278580.8</x:v>
      </x:c>
      <x:c r="D19" t="n">
        <x:v>76711.43</x:v>
      </x:c>
      <x:c r="E19" t="n">
        <x:v>0.2753651005381562</x:v>
      </x:c>
      <x:c r="F19" t="str">
        <x:v>Sorted chronologically</x:v>
      </x:c>
    </x:row>
    <x:row r="20">
      <x:c r="A20" t="str">
        <x:v>2025-05</x:v>
      </x:c>
      <x:c r="B20" t="n">
        <x:v>23</x:v>
      </x:c>
      <x:c r="C20" t="n">
        <x:v>244364.67</x:v>
      </x:c>
      <x:c r="D20" t="n">
        <x:v>76095.91</x:v>
      </x:c>
      <x:c r="E20" t="n">
        <x:v>0.3114030763939812</x:v>
      </x:c>
      <x:c r="F20" t="str">
        <x:v>Sorted chronologically</x:v>
      </x:c>
    </x:row>
    <x:row r="21">
      <x:c r="A21" t="str">
        <x:v>2025-06</x:v>
      </x:c>
      <x:c r="B21" t="n">
        <x:v>23</x:v>
      </x:c>
      <x:c r="C21" t="n">
        <x:v>181398.9</x:v>
      </x:c>
      <x:c r="D21" t="n">
        <x:v>49639.99</x:v>
      </x:c>
      <x:c r="E21" t="n">
        <x:v>0.27365099788366964</x:v>
      </x:c>
      <x:c r="F21" t="str">
        <x:v>Sorted chronologically</x:v>
      </x:c>
    </x:row>
    <x:row r="22">
      <x:c r="A22" t="str">
        <x:v>2025-07</x:v>
      </x:c>
      <x:c r="B22" t="n">
        <x:v>21</x:v>
      </x:c>
      <x:c r="C22" t="n">
        <x:v>207503.92</x:v>
      </x:c>
      <x:c r="D22" t="n">
        <x:v>56600.69</x:v>
      </x:c>
      <x:c r="E22" t="n">
        <x:v>0.27276925660006807</x:v>
      </x:c>
      <x:c r="F22" t="str">
        <x:v>Sorted chronologically</x:v>
      </x:c>
    </x:row>
    <x:row r="23">
      <x:c r="A23" t="str">
        <x:v>2025-08</x:v>
      </x:c>
      <x:c r="B23" t="n">
        <x:v>31</x:v>
      </x:c>
      <x:c r="C23" t="n">
        <x:v>247417.43</x:v>
      </x:c>
      <x:c r="D23" t="n">
        <x:v>77850.72</x:v>
      </x:c>
      <x:c r="E23" t="n">
        <x:v>0.3146533370749183</x:v>
      </x:c>
      <x:c r="F23" t="str">
        <x:v>Sorted chronologically</x:v>
      </x:c>
    </x:row>
    <x:row r="24">
      <x:c r="A24" t="str">
        <x:v>2025-09</x:v>
      </x:c>
      <x:c r="B24" t="n">
        <x:v>28</x:v>
      </x:c>
      <x:c r="C24" t="n">
        <x:v>312555.54</x:v>
      </x:c>
      <x:c r="D24" t="n">
        <x:v>94234.95</x:v>
      </x:c>
      <x:c r="E24" t="n">
        <x:v>0.30149825531807883</x:v>
      </x:c>
      <x:c r="F24" t="str">
        <x:v>Sorted chronologically</x:v>
      </x:c>
    </x:row>
    <x:row r="25">
      <x:c r="A25" t="str">
        <x:v>2025-10</x:v>
      </x:c>
      <x:c r="B25" t="n">
        <x:v>10</x:v>
      </x:c>
      <x:c r="C25" t="n">
        <x:v>121434.81</x:v>
      </x:c>
      <x:c r="D25" t="n">
        <x:v>36962.28</x:v>
      </x:c>
      <x:c r="E25" t="n">
        <x:v>0.3043796091087885</x:v>
      </x:c>
      <x:c r="F25" t="str">
        <x:v>Sorted chronologically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e3c2b935c66342c1"/>
  <x:tableParts count="1">
    <x:tablePart xmlns:r="http://schemas.openxmlformats.org/officeDocument/2006/relationships" r:id="Rae2878f0b9dc445c"/>
  </x:tableParts>
</x:worksheet>
</file>